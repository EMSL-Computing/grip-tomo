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999/research/projects/Margaret/topological-invariance/"/>
    </mc:Choice>
  </mc:AlternateContent>
  <xr:revisionPtr revIDLastSave="0" documentId="13_ncr:1_{2B4515B4-9C04-2B47-BA65-65EBDF002CE6}" xr6:coauthVersionLast="47" xr6:coauthVersionMax="47" xr10:uidLastSave="{00000000-0000-0000-0000-000000000000}"/>
  <bookViews>
    <workbookView xWindow="1660" yWindow="1780" windowWidth="21080" windowHeight="8860" activeTab="1" xr2:uid="{EF3C630A-FE95-0F47-8485-E9DE61301397}"/>
  </bookViews>
  <sheets>
    <sheet name="official" sheetId="1" r:id="rId1"/>
    <sheet name="DN t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2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<sst xmlns="http://schemas.openxmlformats.org/spreadsheetml/2006/main" count="37" uniqueCount="15">
  <si>
    <t>3gb1</t>
  </si>
  <si>
    <t>3vjf</t>
  </si>
  <si>
    <t>4rlc</t>
  </si>
  <si>
    <t>4rly</t>
  </si>
  <si>
    <t>1prw</t>
  </si>
  <si>
    <t>1cll</t>
  </si>
  <si>
    <t>synthetic tomogram rec</t>
  </si>
  <si>
    <t>min_density</t>
  </si>
  <si>
    <t>max_density</t>
  </si>
  <si>
    <t>mean_density</t>
  </si>
  <si>
    <t xml:space="preserve">mrc_from_pdb </t>
  </si>
  <si>
    <t>model</t>
  </si>
  <si>
    <t>(max-min)/10</t>
  </si>
  <si>
    <t>August suggested</t>
  </si>
  <si>
    <t>25478 (using this value resulted in 'Node '107' has no position.')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</si>
</sst>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11" fontId="0" fillId="2" borderId="1" xfId="0" applyNumberFormat="1" applyFill="1" applyBorder="1"/>
    <xf numFmtId="11" fontId="0" fillId="3" borderId="1" xfId="0" applyNumberForma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11" fontId="1" fillId="3" borderId="1" xfId="0" applyNumberFormat="1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3" fillId="2" borderId="1" xfId="0" applyFont="1" applyFill="1" applyBorder="1"/>
    <xf numFmtId="11" fontId="2" fillId="2" borderId="1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11" fontId="3" fillId="3" borderId="1" xfId="0" applyNumberFormat="1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EB43-94BE-8445-86D6-B8B758C9DAE0}">
  <dimension ref="A1:K7"/>
  <sheetViews>
    <sheetView workbookViewId="0">
      <selection activeCell="H2" sqref="H2"/>
    </sheetView>
  </sheetViews>
  <sheetFormatPr baseColWidth="10" defaultRowHeight="16" x14ac:dyDescent="0.2"/>
  <cols>
    <col min="1" max="1" width="6.33203125" style="1" bestFit="1" customWidth="1"/>
    <col min="2" max="3" width="13.33203125" style="4" bestFit="1" customWidth="1"/>
    <col min="4" max="6" width="10.83203125" style="4"/>
    <col min="7" max="8" width="20.83203125" style="6" bestFit="1" customWidth="1"/>
    <col min="9" max="11" width="10.83203125" style="6"/>
    <col min="12" max="16384" width="10.83203125" style="1"/>
  </cols>
  <sheetData>
    <row r="1" spans="1:11" x14ac:dyDescent="0.2">
      <c r="A1" s="1" t="s">
        <v>11</v>
      </c>
      <c r="B1" s="2" t="s">
        <v>10</v>
      </c>
      <c r="C1" s="2" t="s">
        <v>13</v>
      </c>
      <c r="D1" s="2" t="s">
        <v>7</v>
      </c>
      <c r="E1" s="2" t="s">
        <v>8</v>
      </c>
      <c r="F1" s="2" t="s">
        <v>9</v>
      </c>
      <c r="G1" s="5" t="s">
        <v>6</v>
      </c>
      <c r="H1" s="5" t="s">
        <v>13</v>
      </c>
      <c r="I1" s="5" t="s">
        <v>7</v>
      </c>
      <c r="J1" s="5" t="s">
        <v>8</v>
      </c>
      <c r="K1" s="5" t="s">
        <v>9</v>
      </c>
    </row>
    <row r="2" spans="1:11" x14ac:dyDescent="0.2">
      <c r="A2" s="3" t="s">
        <v>0</v>
      </c>
      <c r="B2" s="2"/>
      <c r="C2" s="2">
        <v>1</v>
      </c>
      <c r="D2" s="4">
        <v>0</v>
      </c>
      <c r="E2" s="4">
        <v>5.9932999999999996</v>
      </c>
      <c r="F2" s="7">
        <v>2.5354000000000002E-5</v>
      </c>
      <c r="H2" s="5">
        <v>19185</v>
      </c>
      <c r="I2" s="6">
        <v>-29912</v>
      </c>
      <c r="J2" s="8">
        <v>112800</v>
      </c>
      <c r="K2" s="6">
        <v>-328.02</v>
      </c>
    </row>
    <row r="3" spans="1:11" x14ac:dyDescent="0.2">
      <c r="A3" s="3" t="s">
        <v>1</v>
      </c>
      <c r="B3" s="2"/>
      <c r="C3" s="2">
        <v>0.42499999999999999</v>
      </c>
      <c r="D3" s="4">
        <v>0</v>
      </c>
      <c r="E3" s="4">
        <v>5.8844000000000003</v>
      </c>
      <c r="F3" s="7">
        <v>7.9324000000000001E-5</v>
      </c>
      <c r="H3" s="5">
        <v>26985</v>
      </c>
      <c r="I3" s="6">
        <v>-35505</v>
      </c>
      <c r="J3" s="8">
        <v>103590</v>
      </c>
      <c r="K3" s="6">
        <v>-326.10000000000002</v>
      </c>
    </row>
    <row r="4" spans="1:11" x14ac:dyDescent="0.2">
      <c r="A4" s="3" t="s">
        <v>2</v>
      </c>
      <c r="B4" s="2"/>
      <c r="C4" s="2">
        <v>1</v>
      </c>
      <c r="D4" s="4">
        <v>0</v>
      </c>
      <c r="E4" s="4">
        <v>9.4841999999999995</v>
      </c>
      <c r="F4" s="7">
        <v>6.1650999999999996E-5</v>
      </c>
      <c r="H4" s="5">
        <v>22143</v>
      </c>
      <c r="I4" s="6">
        <v>-29558</v>
      </c>
      <c r="J4" s="6">
        <v>95217</v>
      </c>
      <c r="K4" s="6">
        <v>-320.89</v>
      </c>
    </row>
    <row r="5" spans="1:11" x14ac:dyDescent="0.2">
      <c r="A5" s="3" t="s">
        <v>3</v>
      </c>
      <c r="B5" s="2"/>
      <c r="C5" s="2">
        <v>0.35</v>
      </c>
      <c r="D5" s="4">
        <v>0</v>
      </c>
      <c r="E5" s="4">
        <v>5.915</v>
      </c>
      <c r="F5" s="7">
        <v>1.3956E-4</v>
      </c>
      <c r="H5" s="5">
        <v>25478</v>
      </c>
      <c r="I5" s="6">
        <v>-31125</v>
      </c>
      <c r="J5" s="6">
        <v>91894</v>
      </c>
      <c r="K5" s="6">
        <v>-305.20999999999998</v>
      </c>
    </row>
    <row r="6" spans="1:11" x14ac:dyDescent="0.2">
      <c r="A6" s="3" t="s">
        <v>4</v>
      </c>
      <c r="B6" s="2"/>
      <c r="C6" s="2">
        <v>0.5</v>
      </c>
      <c r="D6" s="4">
        <v>0</v>
      </c>
      <c r="E6" s="4">
        <v>5.9379</v>
      </c>
      <c r="F6" s="7">
        <v>6.4824000000000001E-5</v>
      </c>
      <c r="H6" s="5">
        <v>27756</v>
      </c>
      <c r="I6" s="6">
        <v>-30155</v>
      </c>
      <c r="J6" s="6">
        <v>94004</v>
      </c>
      <c r="K6" s="6">
        <v>-290.77999999999997</v>
      </c>
    </row>
    <row r="7" spans="1:11" x14ac:dyDescent="0.2">
      <c r="A7" s="3" t="s">
        <v>5</v>
      </c>
      <c r="B7" s="2"/>
      <c r="C7" s="2">
        <v>0.5</v>
      </c>
      <c r="D7" s="4">
        <v>0</v>
      </c>
      <c r="E7" s="4">
        <v>5.9705000000000004</v>
      </c>
      <c r="F7" s="7">
        <v>6.4805E-5</v>
      </c>
      <c r="H7" s="5">
        <v>25856</v>
      </c>
      <c r="I7" s="6">
        <v>-28175</v>
      </c>
      <c r="J7" s="6">
        <v>94944</v>
      </c>
      <c r="K7" s="6">
        <v>-325.66000000000003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7B5C-EE16-814E-B925-73DE1E1ED74B}">
  <dimension ref="A1:M7"/>
  <sheetViews>
    <sheetView tabSelected="1" workbookViewId="0">
      <selection activeCell="H4" sqref="H4"/>
    </sheetView>
  </sheetViews>
  <sheetFormatPr baseColWidth="10" defaultRowHeight="16" x14ac:dyDescent="0.2"/>
  <cols>
    <col min="1" max="1" width="6.33203125" style="1" bestFit="1" customWidth="1"/>
    <col min="2" max="3" width="13.33203125" style="4" bestFit="1" customWidth="1"/>
    <col min="4" max="5" width="10.83203125" style="4"/>
    <col min="6" max="6" width="10.83203125" style="10"/>
    <col min="7" max="7" width="10.83203125" style="4"/>
    <col min="8" max="9" width="20.83203125" style="6" bestFit="1" customWidth="1"/>
    <col min="10" max="11" width="10.83203125" style="6"/>
    <col min="12" max="12" width="10.83203125" style="12"/>
    <col min="13" max="13" width="10.83203125" style="6"/>
    <col min="14" max="16384" width="10.83203125" style="1"/>
  </cols>
  <sheetData>
    <row r="1" spans="1:13" x14ac:dyDescent="0.2">
      <c r="A1" s="1" t="s">
        <v>11</v>
      </c>
      <c r="B1" s="2" t="s">
        <v>10</v>
      </c>
      <c r="C1" s="2" t="s">
        <v>13</v>
      </c>
      <c r="D1" s="2" t="s">
        <v>7</v>
      </c>
      <c r="E1" s="2" t="s">
        <v>8</v>
      </c>
      <c r="F1" s="9" t="s">
        <v>12</v>
      </c>
      <c r="G1" s="2" t="s">
        <v>9</v>
      </c>
      <c r="H1" s="5" t="s">
        <v>6</v>
      </c>
      <c r="I1" s="5" t="s">
        <v>13</v>
      </c>
      <c r="J1" s="5" t="s">
        <v>7</v>
      </c>
      <c r="K1" s="5" t="s">
        <v>8</v>
      </c>
      <c r="L1" s="13" t="s">
        <v>12</v>
      </c>
      <c r="M1" s="5" t="s">
        <v>9</v>
      </c>
    </row>
    <row r="2" spans="1:13" x14ac:dyDescent="0.2">
      <c r="A2" s="3" t="s">
        <v>0</v>
      </c>
      <c r="B2" s="2"/>
      <c r="C2" s="2">
        <v>1</v>
      </c>
      <c r="D2" s="4">
        <v>0</v>
      </c>
      <c r="E2" s="4">
        <v>5.9932999999999996</v>
      </c>
      <c r="F2" s="10">
        <f>(E2-D2)/10</f>
        <v>0.59932999999999992</v>
      </c>
      <c r="G2" s="7">
        <v>2.5354000000000002E-5</v>
      </c>
      <c r="I2" s="5">
        <v>19185</v>
      </c>
      <c r="J2" s="6">
        <v>-29912</v>
      </c>
      <c r="K2" s="8">
        <v>112800</v>
      </c>
      <c r="L2" s="11">
        <f>(K2-J2)/10</f>
        <v>14271.2</v>
      </c>
      <c r="M2" s="6">
        <v>-328.02</v>
      </c>
    </row>
    <row r="3" spans="1:13" x14ac:dyDescent="0.2">
      <c r="A3" s="3" t="s">
        <v>1</v>
      </c>
      <c r="B3" s="2"/>
      <c r="C3" s="2">
        <v>0.42499999999999999</v>
      </c>
      <c r="D3" s="4">
        <v>0</v>
      </c>
      <c r="E3" s="4">
        <v>5.8844000000000003</v>
      </c>
      <c r="F3" s="10">
        <f t="shared" ref="F3:F7" si="0">(E3-D3)/10</f>
        <v>0.58844000000000007</v>
      </c>
      <c r="G3" s="7">
        <v>7.9324000000000001E-5</v>
      </c>
      <c r="I3" s="5">
        <v>26985</v>
      </c>
      <c r="J3" s="6">
        <v>-35505</v>
      </c>
      <c r="K3" s="8">
        <v>103590</v>
      </c>
      <c r="L3" s="11">
        <f t="shared" ref="L3:L7" si="1">(K3-J3)/10</f>
        <v>13909.5</v>
      </c>
      <c r="M3" s="6">
        <v>-326.10000000000002</v>
      </c>
    </row>
    <row r="4" spans="1:13" x14ac:dyDescent="0.2">
      <c r="A4" s="3" t="s">
        <v>2</v>
      </c>
      <c r="B4" s="2"/>
      <c r="C4" s="2">
        <v>1</v>
      </c>
      <c r="D4" s="4">
        <v>0</v>
      </c>
      <c r="E4" s="4">
        <v>9.4841999999999995</v>
      </c>
      <c r="F4" s="10">
        <f t="shared" si="0"/>
        <v>0.94841999999999993</v>
      </c>
      <c r="G4" s="7">
        <v>6.1650999999999996E-5</v>
      </c>
      <c r="I4" s="5">
        <v>22143</v>
      </c>
      <c r="J4" s="6">
        <v>-29558</v>
      </c>
      <c r="K4" s="6">
        <v>95217</v>
      </c>
      <c r="L4" s="11">
        <f t="shared" si="1"/>
        <v>12477.5</v>
      </c>
      <c r="M4" s="6">
        <v>-320.89</v>
      </c>
    </row>
    <row r="5" spans="1:13" s="22" customFormat="1" x14ac:dyDescent="0.2">
      <c r="A5" s="14" t="s">
        <v>3</v>
      </c>
      <c r="B5" s="15"/>
      <c r="C5" s="15">
        <v>0.35</v>
      </c>
      <c r="D5" s="16">
        <v>0</v>
      </c>
      <c r="E5" s="16">
        <v>5.915</v>
      </c>
      <c r="F5" s="17">
        <f t="shared" si="0"/>
        <v>0.59150000000000003</v>
      </c>
      <c r="G5" s="18">
        <v>1.3956E-4</v>
      </c>
      <c r="H5" s="19"/>
      <c r="I5" s="20" t="s">
        <v>14</v>
      </c>
      <c r="J5" s="19">
        <v>-31125</v>
      </c>
      <c r="K5" s="19">
        <v>91894</v>
      </c>
      <c r="L5" s="21">
        <f t="shared" si="1"/>
        <v>12301.9</v>
      </c>
      <c r="M5" s="19">
        <v>-305.20999999999998</v>
      </c>
    </row>
    <row r="6" spans="1:13" x14ac:dyDescent="0.2">
      <c r="A6" s="3" t="s">
        <v>4</v>
      </c>
      <c r="B6" s="2"/>
      <c r="C6" s="2">
        <v>0.5</v>
      </c>
      <c r="D6" s="4">
        <v>0</v>
      </c>
      <c r="E6" s="4">
        <v>5.9379</v>
      </c>
      <c r="F6" s="10">
        <f t="shared" si="0"/>
        <v>0.59379000000000004</v>
      </c>
      <c r="G6" s="7">
        <v>6.4824000000000001E-5</v>
      </c>
      <c r="I6" s="5">
        <v>27756</v>
      </c>
      <c r="J6" s="6">
        <v>-30155</v>
      </c>
      <c r="K6" s="6">
        <v>94004</v>
      </c>
      <c r="L6" s="11">
        <f t="shared" si="1"/>
        <v>12415.9</v>
      </c>
      <c r="M6" s="6">
        <v>-290.77999999999997</v>
      </c>
    </row>
    <row r="7" spans="1:13" x14ac:dyDescent="0.2">
      <c r="A7" s="3" t="s">
        <v>5</v>
      </c>
      <c r="B7" s="2"/>
      <c r="C7" s="2">
        <v>0.5</v>
      </c>
      <c r="D7" s="4">
        <v>0</v>
      </c>
      <c r="E7" s="4">
        <v>5.9705000000000004</v>
      </c>
      <c r="F7" s="10">
        <f t="shared" si="0"/>
        <v>0.59705000000000008</v>
      </c>
      <c r="G7" s="7">
        <v>6.4805E-5</v>
      </c>
      <c r="I7" s="5">
        <v>25856</v>
      </c>
      <c r="J7" s="6">
        <v>-28175</v>
      </c>
      <c r="K7" s="6">
        <v>94944</v>
      </c>
      <c r="L7" s="11">
        <f t="shared" si="1"/>
        <v>12311.9</v>
      </c>
      <c r="M7" s="6">
        <v>-325.66000000000003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</vt:lpstr>
      <vt:lpstr>DN 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2022-02-14T18:03:12Z</dcterms:created>
  <dcterms:modified xsi:type="dcterms:W3CDTF">2022-02-14T23:27:49Z</dcterms:modified>
</cp:coreProperties>
</file>